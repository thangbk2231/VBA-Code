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\OAE\201812.LIDAR_Gen5_B1\Achievement\201906\"/>
    </mc:Choice>
  </mc:AlternateContent>
  <xr:revisionPtr revIDLastSave="0" documentId="13_ncr:1_{8A8BFC91-218F-47A3-A18D-24DEA220331B}" xr6:coauthVersionLast="43" xr6:coauthVersionMax="43" xr10:uidLastSave="{00000000-0000-0000-0000-000000000000}"/>
  <bookViews>
    <workbookView minimized="1" xWindow="-38070" yWindow="3330" windowWidth="28830" windowHeight="7830" xr2:uid="{00000000-000D-0000-FFFF-FFFF00000000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25" i="1" l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88" i="1"/>
  <c r="F89" i="1"/>
  <c r="F90" i="1"/>
  <c r="F91" i="1"/>
  <c r="F92" i="1"/>
  <c r="F93" i="1"/>
  <c r="F94" i="1"/>
  <c r="F95" i="1"/>
  <c r="F87" i="1"/>
  <c r="F86" i="1"/>
</calcChain>
</file>

<file path=xl/sharedStrings.xml><?xml version="1.0" encoding="utf-8"?>
<sst xmlns="http://schemas.openxmlformats.org/spreadsheetml/2006/main" count="705" uniqueCount="226">
  <si>
    <t>clk100m</t>
  </si>
  <si>
    <t>wire</t>
  </si>
  <si>
    <t>nreset</t>
  </si>
  <si>
    <t>I</t>
  </si>
  <si>
    <t>-</t>
  </si>
  <si>
    <t>neg</t>
  </si>
  <si>
    <t>pos</t>
  </si>
  <si>
    <t>IO</t>
  </si>
  <si>
    <t>初期値</t>
  </si>
  <si>
    <t>極性</t>
  </si>
  <si>
    <t>機能・信号定義</t>
  </si>
  <si>
    <t>リセット</t>
  </si>
  <si>
    <t>100[MHz]クロック</t>
  </si>
  <si>
    <t>投光からADC開始までのウェイト設定</t>
  </si>
  <si>
    <t>投光からADCの入力信号RCLK開始までのウェイト設定</t>
  </si>
  <si>
    <t>Type</t>
  </si>
  <si>
    <t>reg</t>
  </si>
  <si>
    <t>cnt_wait_en</t>
  </si>
  <si>
    <t>adc_clk_ctrl_set</t>
  </si>
  <si>
    <t>adc_clk_ctrl_clr</t>
  </si>
  <si>
    <t>1'b0</t>
  </si>
  <si>
    <t>外部ADC AD変換クロック制御</t>
  </si>
  <si>
    <t>adc_wen_set</t>
  </si>
  <si>
    <t>ADC_WENセットフラグ</t>
  </si>
  <si>
    <t>adc_wen_clr</t>
  </si>
  <si>
    <t>ADC_WENクリアフラグ</t>
  </si>
  <si>
    <t>ADC_WEN</t>
  </si>
  <si>
    <t>外部ADC AD変換イネーブル</t>
  </si>
  <si>
    <t>外部ADC端子FFのリタイミング用</t>
  </si>
  <si>
    <t>rclk_ctrl_set</t>
  </si>
  <si>
    <t>RCLK_ctrlセットフラグ</t>
  </si>
  <si>
    <t>rclk_ctrl_clr</t>
  </si>
  <si>
    <t>RCLK_ctrlクリアフラグ</t>
  </si>
  <si>
    <t>RCLK_ctrl</t>
  </si>
  <si>
    <t>外部ADC FIFO読み出しクロック</t>
  </si>
  <si>
    <t>2'd0</t>
  </si>
  <si>
    <t>外部ADC端子REN遅延用カウンタ</t>
  </si>
  <si>
    <t>adc_ren_clr</t>
  </si>
  <si>
    <t>ADC_RENクリアフラグ</t>
  </si>
  <si>
    <t>adc_ren_set</t>
  </si>
  <si>
    <t>ADC_RENセットフラグ</t>
  </si>
  <si>
    <t>O</t>
  </si>
  <si>
    <t>入出力一覧</t>
  </si>
  <si>
    <t>cnt_wait_r[9:0]カウントイネーブル</t>
  </si>
  <si>
    <t>cnt_wait_r[9:0]</t>
  </si>
  <si>
    <t>10'd0</t>
  </si>
  <si>
    <t>adc_clk_ctrl_oセットフラグ</t>
  </si>
  <si>
    <t>adc_clk_ctrl_oクリアフラグ</t>
  </si>
  <si>
    <t>adc_clk_ctrl_o</t>
  </si>
  <si>
    <t>adc&lt;0:3&gt;_ff_rtm0_r</t>
  </si>
  <si>
    <t>adc&lt;0:3&gt;_ff_rtm1_r</t>
  </si>
  <si>
    <t>cnt_adc_ren_dly_r[1:0]</t>
  </si>
  <si>
    <t>ADC_REN</t>
  </si>
  <si>
    <t>外部ADC読み出しイネーブル</t>
  </si>
  <si>
    <t>adc&lt;0:3&gt;_ef_rtm0_r</t>
  </si>
  <si>
    <t>1'b1</t>
  </si>
  <si>
    <t>外部ADC端子EFのリタイミング用</t>
  </si>
  <si>
    <t>adc&lt;0:3&gt;_ef_rtm1_r</t>
  </si>
  <si>
    <t>cnt_adc_reset_r[2:0]</t>
  </si>
  <si>
    <t>3'd5</t>
  </si>
  <si>
    <t>外部ADC端子ADC_RESET生成用カウンタ</t>
  </si>
  <si>
    <t>ADC_RESET</t>
  </si>
  <si>
    <t>外部ADCリセット</t>
  </si>
  <si>
    <t>fifo_wck&lt;0:3&gt;</t>
  </si>
  <si>
    <t>非同期FIFO書き込みクロック</t>
  </si>
  <si>
    <t>非同期FIFO書き込みデータ</t>
  </si>
  <si>
    <t>fifo_wen</t>
  </si>
  <si>
    <t>非同期FIFO書き込みイネーブル</t>
  </si>
  <si>
    <t>fifo_rck</t>
  </si>
  <si>
    <t>非同期FIFO読み出しクロック</t>
  </si>
  <si>
    <t>非同期FIFOエンプティフラグ</t>
  </si>
  <si>
    <t>fifo_ren_set</t>
  </si>
  <si>
    <t>fifo_ren_rセットフラグ</t>
  </si>
  <si>
    <t>fifo_ren_clr</t>
  </si>
  <si>
    <t>fifo_ren_rクリアフラグ</t>
  </si>
  <si>
    <t>fifo_ren_r</t>
  </si>
  <si>
    <t>非同期FIFO読み出しイネーブル</t>
  </si>
  <si>
    <t>cnt_fifo_ren_r[7:0]</t>
  </si>
  <si>
    <t>8'd0</t>
  </si>
  <si>
    <t>非同期FIFO 端子fifo_ren_r生成用カウンタ</t>
  </si>
  <si>
    <t>非同期FIFO読み出しデータ</t>
  </si>
  <si>
    <t>fifo_rst_r</t>
  </si>
  <si>
    <t>非同期FIFOリセット</t>
  </si>
  <si>
    <t>adc_en_o</t>
  </si>
  <si>
    <t>AD変換結果イネーブル</t>
  </si>
  <si>
    <t>AD変換結果データ</t>
  </si>
  <si>
    <t>内部</t>
  </si>
  <si>
    <t>receive_ctrl出力</t>
  </si>
  <si>
    <t>fifo_async</t>
  </si>
  <si>
    <t>receive_ctrl内各サブブロック</t>
  </si>
  <si>
    <t>受光制御開始信号からAD変換開始までの遅延用カウンタ</t>
  </si>
  <si>
    <t>adc0_dt_o[7:0]</t>
  </si>
  <si>
    <t>adc1_dt_o[7:0]</t>
  </si>
  <si>
    <t>adc2_dt_o[7:0]</t>
  </si>
  <si>
    <t>adc3_dt_o[7:0]</t>
  </si>
  <si>
    <t>adcc_start_i</t>
  </si>
  <si>
    <t>ADC&lt;0:3&gt;_DRDY</t>
  </si>
  <si>
    <t>ADC0_DRDY</t>
  </si>
  <si>
    <t>ADC1_DRDY</t>
  </si>
  <si>
    <t>ADC2_DRDY</t>
  </si>
  <si>
    <t>ADC3_DRDY</t>
  </si>
  <si>
    <t>ADC0_DATA[7:0]</t>
  </si>
  <si>
    <t>ADC1_DATA[7:0]</t>
  </si>
  <si>
    <t>ADC2_DATA[7:0]</t>
  </si>
  <si>
    <t>ADC3_DATA[7:0]</t>
  </si>
  <si>
    <t>ADC&lt;0:3&gt;_EF</t>
  </si>
  <si>
    <t>ADC&lt;0:3&gt;_FF</t>
  </si>
  <si>
    <t>ADC0_EF</t>
  </si>
  <si>
    <t>ADC1_EF</t>
  </si>
  <si>
    <t>ADC2_EF</t>
  </si>
  <si>
    <t>ADC3_EF</t>
  </si>
  <si>
    <t>ADC0_FF</t>
  </si>
  <si>
    <t>ADC1_FF</t>
  </si>
  <si>
    <t>ADC2_FF</t>
  </si>
  <si>
    <t>ADC3_FF</t>
  </si>
  <si>
    <t>adc0_ff_rtm0_r</t>
  </si>
  <si>
    <t>adc1_ff_rtm0_r</t>
  </si>
  <si>
    <t>adc2_ff_rtm0_r</t>
  </si>
  <si>
    <t>adc3_ff_rtm0_r</t>
  </si>
  <si>
    <t>adc0_ff_rtm1_r</t>
  </si>
  <si>
    <t>adc1_ff_rtm1_r</t>
  </si>
  <si>
    <t>adc2_ff_rtm1_r</t>
  </si>
  <si>
    <t>adc3_ff_rtm1_r</t>
  </si>
  <si>
    <t>adc0_ef_rtm0_r</t>
  </si>
  <si>
    <t>adc1_ef_rtm0_r</t>
  </si>
  <si>
    <t>adc2_ef_rtm0_r</t>
  </si>
  <si>
    <t>adc3_ef_rtm0_r</t>
  </si>
  <si>
    <t>adc0_ef_rtm1_r</t>
  </si>
  <si>
    <t>adc1_ef_rtm1_r</t>
  </si>
  <si>
    <t>adc2_ef_rtm1_r</t>
  </si>
  <si>
    <t>adc3_ef_rtm1_r</t>
  </si>
  <si>
    <t>fifo_wck0</t>
  </si>
  <si>
    <t>fifo_wck1</t>
  </si>
  <si>
    <t>fifo_wck2</t>
  </si>
  <si>
    <t>fifo_wck3</t>
  </si>
  <si>
    <t>fifo_wdt0[7:0]</t>
  </si>
  <si>
    <t>fifo_wdt1[7:0]</t>
  </si>
  <si>
    <t>fifo_wdt2[7:0]</t>
  </si>
  <si>
    <t>fifo_wdt3[7:0]</t>
  </si>
  <si>
    <t>fifo_rempt0</t>
  </si>
  <si>
    <t>fifo_rempt1</t>
  </si>
  <si>
    <t>fifo_rempt2</t>
  </si>
  <si>
    <t>fifo_rempt3</t>
  </si>
  <si>
    <t>fifo_rdt0[7:0]</t>
  </si>
  <si>
    <t>fifo_rdt1[7:0]</t>
  </si>
  <si>
    <t>fifo_rdt2[7:0]</t>
  </si>
  <si>
    <t>fifo_rdt3[7:0]</t>
  </si>
  <si>
    <t xml:space="preserve">Reg_wclk_delay[9:0] </t>
  </si>
  <si>
    <t>Reg_st_wait[9:0]</t>
  </si>
  <si>
    <t>ADC出力データラッチ用CLK信号(ch0)</t>
  </si>
  <si>
    <t>ADC出力データラッチ用CLK信号(ch1)</t>
  </si>
  <si>
    <t>ADC出力データラッチ用CLK信号(ch2)</t>
  </si>
  <si>
    <t>ADC出力データラッチ用CLK信号(ch3)</t>
  </si>
  <si>
    <t>ADC出力データ(ch0)</t>
  </si>
  <si>
    <t>ADC出力データ(ch1)</t>
  </si>
  <si>
    <t>ADC出力データ(ch2)</t>
  </si>
  <si>
    <t>ADC出力データ(ch3)</t>
  </si>
  <si>
    <t>ADC emptyフラグ(ch0)</t>
  </si>
  <si>
    <t>ADC emptyフラグ(ch1)</t>
  </si>
  <si>
    <t>ADC emptyフラグ(ch2)</t>
  </si>
  <si>
    <t>ADC emptyフラグ(ch3)</t>
  </si>
  <si>
    <t>ADC fullフラグ(ch0)</t>
  </si>
  <si>
    <t>ADC fullフラグ(ch1)</t>
  </si>
  <si>
    <t>ADC fullフラグ(ch2)</t>
  </si>
  <si>
    <t>ADC fullフラグ(ch3)</t>
  </si>
  <si>
    <t>AD変換開始指示</t>
  </si>
  <si>
    <t>adcc_start_i | ( ( 10'd0 &lt; cnt_wait_r[9:0] ) &amp; ( cnt_wait_r[9:0] &lt; 10'h3FF ) )</t>
  </si>
  <si>
    <t>( cnt_adc_reset_r[2:0] == 3'd1 ) ? 10'd0 :</t>
  </si>
  <si>
    <t>( cnt_wait_en ) ?     cnt_wait_r[9:0] + 10'd1 :</t>
  </si>
  <si>
    <t xml:space="preserve">  cnt_wait_r[9:0]</t>
  </si>
  <si>
    <t>( Reg_wclk_delay[9:0] &lt;= 10'd1 ) ?</t>
  </si>
  <si>
    <t xml:space="preserve">adcc_start_i : </t>
  </si>
  <si>
    <t>( cnt_wait_r[9:0] == (Reg_wclk_delay[9:0] - 10'd1 ) )</t>
  </si>
  <si>
    <t xml:space="preserve">ADC_WEN &amp; </t>
  </si>
  <si>
    <t>( { adc0_ff_rtm1_r, adc1_ff_rtm1_r, adc2_ff_rtm1_r, adc3_ff_rtm1_r } == 4'hF )</t>
  </si>
  <si>
    <t>( adc_clk_ctrl_set ) ? 1'b1 :</t>
  </si>
  <si>
    <t>( adc_clk_ctrl_clr ) ? 1'b0 :</t>
  </si>
  <si>
    <t>( Reg_st_wait[9:0] &lt;= 10'd1 ) ? adcc_start_i :</t>
  </si>
  <si>
    <t xml:space="preserve">   ( cnt_wait_r[9:0] == ( Reg_st_wait[9:0] - 10.'d1 ) )</t>
  </si>
  <si>
    <t>( adc_wen_set ) ? 1'b1 :</t>
  </si>
  <si>
    <t>( adc_wen_clr ) ? 1'b0 :</t>
  </si>
  <si>
    <t xml:space="preserve">ADC_REN &amp; </t>
  </si>
  <si>
    <t>( { adc0_ef_rtm1_r, adc1_ef_rtm1_r, adc2_ef_rtm1_r, adc3_ef_rtm1_r } == 4'hF )</t>
  </si>
  <si>
    <t>( rclk_ctrl_set ) ? 1'b1 :</t>
  </si>
  <si>
    <t>( rclk_ctrl_clr ) ? 1'b0 :</t>
  </si>
  <si>
    <t>( rclk_ctrl_clr ) ?   2'd0 :</t>
  </si>
  <si>
    <t>( RCLK_ctrl &amp; ( cnt_adc_ren_dly_r[1:0] != 2'd3 ) ) ? cnt_adc_ren_dly_r[1:0] + 2'd1 :</t>
  </si>
  <si>
    <t xml:space="preserve">  cnt_adc_ren_dly_r[1:0]</t>
  </si>
  <si>
    <t>( cnt_adc_ren_dly_r[1:0] == 2'd3 )</t>
  </si>
  <si>
    <t>( adc_ren_clr ) ? 1'b0 :</t>
  </si>
  <si>
    <t>( adc_ren_set ) ? 1'b1 :</t>
  </si>
  <si>
    <t>( rclk_ctrl_clr ) ?  3'd4 :</t>
  </si>
  <si>
    <t>(cnt_adc_reset_r[2:0] != 3'd0 ) ? cnt_adc_reset_r[2:0] - 3'd1 :</t>
  </si>
  <si>
    <t xml:space="preserve">  cnt_adc_reset_r[2:0]</t>
  </si>
  <si>
    <t>( 3'd4 &gt;= cnt_adc_reset_r[2:0] ) &amp; ( cnt_adc_reset_r[2:0] &gt;= 3'd1 )</t>
  </si>
  <si>
    <t>fifo_wen &amp; ( { fifo_rempt0, fifo_rempt1, fifo_rempt2, fifo_rempt3 } == 4'h0 )</t>
  </si>
  <si>
    <t>cnt_fifo_ren_r[7:0] == 8'hFF</t>
  </si>
  <si>
    <t>( cnt_adc_reset_r[2:0] == 3'd1 )</t>
  </si>
  <si>
    <t>( adc_clk_ctrl_set ) ? 1'b1 :
( adc_clk_ctrl_clr ) ? 1'b0 :
                               adc_clk_ctrl_o</t>
  </si>
  <si>
    <t>( cnt_adc_reset_r[2:0] == 3'd1 ) ? 10'd0 :
( cnt_wait_en ) ?                           cnt_wait_r[9:0] + 10'd1 :
                                                    cnt_wait_r[9:0]</t>
  </si>
  <si>
    <t>( Reg_wclk_delay[9:0] &lt;= 10'd1 ) ?  adcc_start_i : ( cnt_wait_r[9:0] == (Reg_wclk_delay[9:0] - 10'd1 ) )</t>
  </si>
  <si>
    <t>ADC_WEN &amp; ( { adc0_ff_rtm1_r, adc1_ff_rtm1_r, adc2_ff_rtm1_r, adc3_ff_rtm1_r } == 4'hF )</t>
  </si>
  <si>
    <t>ADC_REN &amp; ( { adc0_ef_rtm1_r, adc1_ef_rtm1_r, adc2_ef_rtm1_r, adc3_ef_rtm1_r } == 4'hF )</t>
  </si>
  <si>
    <t>( rclk_ctrl_clr ) ?                                                     2'd0 :
( RCLK_ctrl &amp; ( cnt_adc_ren_dly_r[1:0] != 2'd3 ) ) ? cnt_adc_ren_dly_r[1:0] + 2'd1 :
                                                                             cnt_adc_ren_dly_r[1:0]</t>
  </si>
  <si>
    <t>( rclk_ctrl_clr ) ?                          3'd4 :
(cnt_adc_reset_r[2:0] != 3'd0 ) ? cnt_adc_reset_r[2:0] - 3'd1 :
                                                  cnt_adc_reset_r[2:0]</t>
  </si>
  <si>
    <t>( fifo_ren_set ) ? 1'b1 :
( fifo_ren_clr ) ?  1'b0 :
                          fifo_ren_r</t>
  </si>
  <si>
    <t>( fifo_ren_r ) ? cnt_fifo_ren_r[7:0] + 8'd1 : cnt_fifo_ren_r[7:0]</t>
  </si>
  <si>
    <t>( rclk_ctrl_set ) ? 1'b1 :
( rclk_ctrl_clr ) ? 1'b0 :
                          RCLK_ctrl</t>
  </si>
  <si>
    <t>( adc_wen_set ) ? 1'b1 :
( adc_wen_clr ) ? 1'b0 :
                          ADC_WEN</t>
  </si>
  <si>
    <t>( adc_ren_clr ) ? 1'b0 :
( adc_ren_set ) ? 1'b1 :
                          ADC_REN</t>
  </si>
  <si>
    <t>rst</t>
  </si>
  <si>
    <t>wck</t>
  </si>
  <si>
    <t>rck</t>
  </si>
  <si>
    <t>wen</t>
  </si>
  <si>
    <t>ren</t>
  </si>
  <si>
    <t>wdt[7:0]</t>
  </si>
  <si>
    <t>rdt[7:0]</t>
  </si>
  <si>
    <t>wfull</t>
  </si>
  <si>
    <t>(N.C.)</t>
  </si>
  <si>
    <t>rempt</t>
  </si>
  <si>
    <t>fifo_async_0</t>
  </si>
  <si>
    <t>( Reg_st_wait[9:0] &lt;= 10'd1 ) ? adcc_start_i : ( cnt_wait_r[9:0] == ( Reg_st_wait[9:0] - 10'd1 ) )</t>
  </si>
  <si>
    <t>Instance Name</t>
  </si>
  <si>
    <t>fifo_async_1</t>
  </si>
  <si>
    <t>fifo_async_2</t>
  </si>
  <si>
    <t>fifo_async_3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</si>
</sst>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/>
      <name val="メイリオ"/>
      <family val="3"/>
      <charset val="128"/>
    </font>
    <font>
      <sz val="8"/>
      <name val="メイリオ"/>
      <family val="3"/>
      <charset val="128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justify"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4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3" fillId="0" borderId="7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</cellXfs>
  <cellStyles count="1">
    <cellStyle name="標準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19050</xdr:rowOff>
        </xdr:from>
        <xdr:to>
          <xdr:col>7</xdr:col>
          <xdr:colOff>0</xdr:colOff>
          <xdr:row>0</xdr:row>
          <xdr:rowOff>476250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variale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declare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5"/>
  <sheetViews>
    <sheetView tabSelected="1" zoomScaleNormal="100" workbookViewId="0">
      <selection activeCell="K7" sqref="K7"/>
    </sheetView>
  </sheetViews>
  <sheetFormatPr defaultRowHeight="15" thickBottom="1"/>
  <cols>
    <col min="1" max="1" width="12.140625" style="19" bestFit="1" customWidth="1"/>
    <col min="2" max="2" width="18.42578125" style="17" bestFit="1" customWidth="1"/>
    <col min="3" max="3" width="2.7109375" style="19" bestFit="1" customWidth="1"/>
    <col min="4" max="4" width="13.7109375" style="17" customWidth="1"/>
    <col min="5" max="5" width="4.140625" style="19" bestFit="1" customWidth="1"/>
    <col min="6" max="6" width="41.85546875" style="17" bestFit="1" customWidth="1"/>
    <col min="7" max="7" width="22.85546875" style="17" customWidth="1"/>
    <col min="8" max="8" width="80.42578125" style="17" customWidth="1"/>
    <col min="9" max="9" width="9.140625" style="18"/>
    <col min="10" max="10" width="2.7109375" style="23" bestFit="1" customWidth="1"/>
    <col min="11" max="11" width="12.7109375" style="18" customWidth="1"/>
    <col min="12" max="16384" width="9.140625" style="18"/>
  </cols>
  <sheetData>
    <row r="1" spans="1:8" ht="37.5" customHeight="1" thickBot="1">
      <c r="A1" s="2" t="s">
        <v>15</v>
      </c>
      <c r="B1" s="2" t="s">
        <v>42</v>
      </c>
      <c r="C1" s="2" t="s">
        <v>7</v>
      </c>
      <c r="D1" s="2" t="s">
        <v>8</v>
      </c>
      <c r="E1" s="2" t="s">
        <v>9</v>
      </c>
      <c r="F1" s="2" t="s">
        <v>10</v>
      </c>
    </row>
    <row r="2" spans="1:8" thickBot="1">
      <c r="A2" s="11" t="s">
        <v>1</v>
      </c>
      <c r="B2" s="3" t="s">
        <v>2</v>
      </c>
      <c r="C2" s="12" t="s">
        <v>3</v>
      </c>
      <c r="D2" s="12" t="s">
        <v>4</v>
      </c>
      <c r="E2" s="12" t="s">
        <v>5</v>
      </c>
      <c r="F2" s="3" t="s">
        <v>11</v>
      </c>
    </row>
    <row r="3" spans="1:8" thickBot="1">
      <c r="A3" s="11" t="s">
        <v>1</v>
      </c>
      <c r="B3" s="13" t="s">
        <v>0</v>
      </c>
      <c r="C3" s="14" t="s">
        <v>3</v>
      </c>
      <c r="D3" s="14" t="s">
        <v>4</v>
      </c>
      <c r="E3" s="14" t="s">
        <v>4</v>
      </c>
      <c r="F3" s="13" t="s">
        <v>12</v>
      </c>
    </row>
    <row r="4" spans="1:8" thickBot="1">
      <c r="A4" s="19" t="s">
        <v>1</v>
      </c>
      <c r="B4" s="17" t="s">
        <v>147</v>
      </c>
      <c r="C4" s="14" t="s">
        <v>3</v>
      </c>
      <c r="F4" s="17" t="s">
        <v>14</v>
      </c>
    </row>
    <row r="5" spans="1:8" thickBot="1">
      <c r="A5" s="19" t="s">
        <v>1</v>
      </c>
      <c r="B5" s="17" t="s">
        <v>148</v>
      </c>
      <c r="C5" s="14" t="s">
        <v>3</v>
      </c>
      <c r="F5" s="17" t="s">
        <v>13</v>
      </c>
    </row>
    <row r="6" spans="1:8" ht="43.5" thickBot="1">
      <c r="A6" s="10" t="s">
        <v>16</v>
      </c>
      <c r="B6" s="8" t="s">
        <v>48</v>
      </c>
      <c r="C6" s="12" t="s">
        <v>41</v>
      </c>
      <c r="D6" s="12" t="s">
        <v>20</v>
      </c>
      <c r="E6" s="12" t="s">
        <v>6</v>
      </c>
      <c r="F6" s="3" t="s">
        <v>21</v>
      </c>
      <c r="G6" s="3" t="s">
        <v>87</v>
      </c>
      <c r="H6" s="16" t="s">
        <v>198</v>
      </c>
    </row>
    <row r="7" spans="1:8" ht="43.5" thickBot="1">
      <c r="A7" s="12" t="s">
        <v>16</v>
      </c>
      <c r="B7" s="3" t="s">
        <v>33</v>
      </c>
      <c r="C7" s="12" t="s">
        <v>41</v>
      </c>
      <c r="D7" s="12" t="s">
        <v>20</v>
      </c>
      <c r="E7" s="12" t="s">
        <v>6</v>
      </c>
      <c r="F7" s="3" t="s">
        <v>34</v>
      </c>
      <c r="G7" s="3" t="s">
        <v>87</v>
      </c>
      <c r="H7" s="16" t="s">
        <v>207</v>
      </c>
    </row>
    <row r="8" spans="1:8" thickBot="1">
      <c r="A8" s="12" t="s">
        <v>16</v>
      </c>
      <c r="B8" s="3" t="s">
        <v>61</v>
      </c>
      <c r="C8" s="12" t="s">
        <v>41</v>
      </c>
      <c r="D8" s="12" t="s">
        <v>20</v>
      </c>
      <c r="E8" s="12" t="s">
        <v>6</v>
      </c>
      <c r="F8" s="3" t="s">
        <v>62</v>
      </c>
      <c r="G8" s="3" t="s">
        <v>87</v>
      </c>
      <c r="H8" s="17" t="s">
        <v>194</v>
      </c>
    </row>
    <row r="9" spans="1:8" ht="43.5" thickBot="1">
      <c r="A9" s="12" t="s">
        <v>16</v>
      </c>
      <c r="B9" s="3" t="s">
        <v>26</v>
      </c>
      <c r="C9" s="12" t="s">
        <v>41</v>
      </c>
      <c r="D9" s="12" t="s">
        <v>20</v>
      </c>
      <c r="E9" s="12" t="s">
        <v>6</v>
      </c>
      <c r="F9" s="3" t="s">
        <v>27</v>
      </c>
      <c r="G9" s="3" t="s">
        <v>87</v>
      </c>
      <c r="H9" s="16" t="s">
        <v>208</v>
      </c>
    </row>
    <row r="10" spans="1:8" ht="43.5" thickBot="1">
      <c r="A10" s="12" t="s">
        <v>16</v>
      </c>
      <c r="B10" s="3" t="s">
        <v>52</v>
      </c>
      <c r="C10" s="12" t="s">
        <v>41</v>
      </c>
      <c r="D10" s="12" t="s">
        <v>20</v>
      </c>
      <c r="E10" s="12" t="s">
        <v>6</v>
      </c>
      <c r="F10" s="3" t="s">
        <v>53</v>
      </c>
      <c r="G10" s="3" t="s">
        <v>87</v>
      </c>
      <c r="H10" s="16" t="s">
        <v>209</v>
      </c>
    </row>
    <row r="11" spans="1:8" thickBot="1">
      <c r="A11" s="19" t="s">
        <v>1</v>
      </c>
      <c r="B11" s="21" t="s">
        <v>97</v>
      </c>
      <c r="C11" s="19" t="s">
        <v>3</v>
      </c>
      <c r="F11" s="3" t="s">
        <v>149</v>
      </c>
    </row>
    <row r="12" spans="1:8" thickBot="1">
      <c r="A12" s="19" t="s">
        <v>1</v>
      </c>
      <c r="B12" s="21" t="s">
        <v>98</v>
      </c>
      <c r="C12" s="19" t="s">
        <v>3</v>
      </c>
      <c r="F12" s="3" t="s">
        <v>150</v>
      </c>
    </row>
    <row r="13" spans="1:8" thickBot="1">
      <c r="A13" s="19" t="s">
        <v>1</v>
      </c>
      <c r="B13" s="21" t="s">
        <v>99</v>
      </c>
      <c r="C13" s="19" t="s">
        <v>3</v>
      </c>
      <c r="F13" s="3" t="s">
        <v>151</v>
      </c>
    </row>
    <row r="14" spans="1:8" thickBot="1">
      <c r="A14" s="19" t="s">
        <v>1</v>
      </c>
      <c r="B14" s="21" t="s">
        <v>100</v>
      </c>
      <c r="C14" s="19" t="s">
        <v>3</v>
      </c>
      <c r="F14" s="3" t="s">
        <v>152</v>
      </c>
    </row>
    <row r="15" spans="1:8" thickBot="1">
      <c r="A15" s="19" t="s">
        <v>1</v>
      </c>
      <c r="B15" s="21" t="s">
        <v>101</v>
      </c>
      <c r="C15" s="19" t="s">
        <v>3</v>
      </c>
      <c r="F15" s="3" t="s">
        <v>153</v>
      </c>
    </row>
    <row r="16" spans="1:8" thickBot="1">
      <c r="A16" s="19" t="s">
        <v>1</v>
      </c>
      <c r="B16" s="21" t="s">
        <v>102</v>
      </c>
      <c r="C16" s="19" t="s">
        <v>3</v>
      </c>
      <c r="F16" s="3" t="s">
        <v>154</v>
      </c>
    </row>
    <row r="17" spans="1:8" thickBot="1">
      <c r="A17" s="19" t="s">
        <v>1</v>
      </c>
      <c r="B17" s="21" t="s">
        <v>103</v>
      </c>
      <c r="C17" s="19" t="s">
        <v>3</v>
      </c>
      <c r="F17" s="3" t="s">
        <v>155</v>
      </c>
    </row>
    <row r="18" spans="1:8" thickBot="1">
      <c r="A18" s="19" t="s">
        <v>1</v>
      </c>
      <c r="B18" s="21" t="s">
        <v>104</v>
      </c>
      <c r="C18" s="19" t="s">
        <v>3</v>
      </c>
      <c r="F18" s="3" t="s">
        <v>156</v>
      </c>
    </row>
    <row r="19" spans="1:8" thickBot="1">
      <c r="A19" s="19" t="s">
        <v>1</v>
      </c>
      <c r="B19" s="21" t="s">
        <v>107</v>
      </c>
      <c r="C19" s="19" t="s">
        <v>3</v>
      </c>
      <c r="F19" s="3" t="s">
        <v>157</v>
      </c>
    </row>
    <row r="20" spans="1:8" thickBot="1">
      <c r="A20" s="19" t="s">
        <v>1</v>
      </c>
      <c r="B20" s="21" t="s">
        <v>108</v>
      </c>
      <c r="C20" s="19" t="s">
        <v>3</v>
      </c>
      <c r="F20" s="3" t="s">
        <v>158</v>
      </c>
    </row>
    <row r="21" spans="1:8" thickBot="1">
      <c r="A21" s="19" t="s">
        <v>1</v>
      </c>
      <c r="B21" s="21" t="s">
        <v>109</v>
      </c>
      <c r="C21" s="19" t="s">
        <v>3</v>
      </c>
      <c r="D21" s="14"/>
      <c r="E21" s="14"/>
      <c r="F21" s="3" t="s">
        <v>159</v>
      </c>
    </row>
    <row r="22" spans="1:8" thickBot="1">
      <c r="A22" s="19" t="s">
        <v>1</v>
      </c>
      <c r="B22" s="21" t="s">
        <v>110</v>
      </c>
      <c r="C22" s="19" t="s">
        <v>3</v>
      </c>
      <c r="D22" s="14"/>
      <c r="E22" s="14"/>
      <c r="F22" s="3" t="s">
        <v>160</v>
      </c>
    </row>
    <row r="23" spans="1:8" thickBot="1">
      <c r="A23" s="19" t="s">
        <v>1</v>
      </c>
      <c r="B23" s="21" t="s">
        <v>111</v>
      </c>
      <c r="C23" s="19" t="s">
        <v>3</v>
      </c>
      <c r="D23" s="14"/>
      <c r="E23" s="14"/>
      <c r="F23" s="3" t="s">
        <v>161</v>
      </c>
    </row>
    <row r="24" spans="1:8" thickBot="1">
      <c r="A24" s="19" t="s">
        <v>1</v>
      </c>
      <c r="B24" s="21" t="s">
        <v>112</v>
      </c>
      <c r="C24" s="19" t="s">
        <v>3</v>
      </c>
      <c r="D24" s="14"/>
      <c r="E24" s="14"/>
      <c r="F24" s="3" t="s">
        <v>162</v>
      </c>
    </row>
    <row r="25" spans="1:8" thickBot="1">
      <c r="A25" s="19" t="s">
        <v>1</v>
      </c>
      <c r="B25" s="21" t="s">
        <v>113</v>
      </c>
      <c r="C25" s="19" t="s">
        <v>3</v>
      </c>
      <c r="D25" s="14"/>
      <c r="E25" s="14"/>
      <c r="F25" s="3" t="s">
        <v>163</v>
      </c>
    </row>
    <row r="26" spans="1:8" thickBot="1">
      <c r="A26" s="19" t="s">
        <v>1</v>
      </c>
      <c r="B26" s="21" t="s">
        <v>114</v>
      </c>
      <c r="C26" s="19" t="s">
        <v>3</v>
      </c>
      <c r="D26" s="14"/>
      <c r="E26" s="14"/>
      <c r="F26" s="3" t="s">
        <v>164</v>
      </c>
    </row>
    <row r="27" spans="1:8" thickBot="1">
      <c r="A27" s="19" t="s">
        <v>1</v>
      </c>
      <c r="B27" s="17" t="s">
        <v>95</v>
      </c>
      <c r="C27" s="14" t="s">
        <v>3</v>
      </c>
      <c r="F27" s="3" t="s">
        <v>165</v>
      </c>
    </row>
    <row r="28" spans="1:8" thickBot="1">
      <c r="A28" s="12" t="s">
        <v>16</v>
      </c>
      <c r="B28" s="3" t="s">
        <v>83</v>
      </c>
      <c r="C28" s="12" t="s">
        <v>41</v>
      </c>
      <c r="D28" s="12" t="s">
        <v>20</v>
      </c>
      <c r="E28" s="12" t="s">
        <v>6</v>
      </c>
      <c r="F28" s="3" t="s">
        <v>84</v>
      </c>
      <c r="G28" s="3" t="s">
        <v>89</v>
      </c>
      <c r="H28" s="17" t="s">
        <v>75</v>
      </c>
    </row>
    <row r="29" spans="1:8" thickBot="1">
      <c r="A29" s="12" t="s">
        <v>1</v>
      </c>
      <c r="B29" s="3" t="s">
        <v>91</v>
      </c>
      <c r="C29" s="12" t="s">
        <v>41</v>
      </c>
      <c r="D29" s="12" t="s">
        <v>4</v>
      </c>
      <c r="E29" s="12" t="s">
        <v>4</v>
      </c>
      <c r="F29" s="3" t="s">
        <v>85</v>
      </c>
      <c r="G29" s="3" t="s">
        <v>89</v>
      </c>
      <c r="H29" s="17" t="s">
        <v>143</v>
      </c>
    </row>
    <row r="30" spans="1:8" thickBot="1">
      <c r="A30" s="12" t="s">
        <v>1</v>
      </c>
      <c r="B30" s="3" t="s">
        <v>92</v>
      </c>
      <c r="C30" s="12" t="s">
        <v>41</v>
      </c>
      <c r="D30" s="12" t="s">
        <v>4</v>
      </c>
      <c r="E30" s="12" t="s">
        <v>4</v>
      </c>
      <c r="F30" s="3" t="s">
        <v>85</v>
      </c>
      <c r="G30" s="3" t="s">
        <v>89</v>
      </c>
      <c r="H30" s="17" t="s">
        <v>144</v>
      </c>
    </row>
    <row r="31" spans="1:8" thickBot="1">
      <c r="A31" s="12" t="s">
        <v>1</v>
      </c>
      <c r="B31" s="3" t="s">
        <v>93</v>
      </c>
      <c r="C31" s="12" t="s">
        <v>41</v>
      </c>
      <c r="D31" s="12" t="s">
        <v>4</v>
      </c>
      <c r="E31" s="12" t="s">
        <v>4</v>
      </c>
      <c r="F31" s="3" t="s">
        <v>85</v>
      </c>
      <c r="G31" s="3" t="s">
        <v>89</v>
      </c>
      <c r="H31" s="17" t="s">
        <v>145</v>
      </c>
    </row>
    <row r="32" spans="1:8" thickBot="1">
      <c r="A32" s="12" t="s">
        <v>1</v>
      </c>
      <c r="B32" s="3" t="s">
        <v>94</v>
      </c>
      <c r="C32" s="12" t="s">
        <v>41</v>
      </c>
      <c r="D32" s="12" t="s">
        <v>4</v>
      </c>
      <c r="E32" s="12" t="s">
        <v>4</v>
      </c>
      <c r="F32" s="3" t="s">
        <v>85</v>
      </c>
      <c r="G32" s="3" t="s">
        <v>89</v>
      </c>
      <c r="H32" s="17" t="s">
        <v>146</v>
      </c>
    </row>
    <row r="33" spans="1:9" thickBot="1">
      <c r="A33" s="2"/>
      <c r="B33" s="2"/>
      <c r="C33" s="2"/>
      <c r="D33" s="2"/>
      <c r="E33" s="2"/>
      <c r="F33" s="2"/>
      <c r="G33" s="2"/>
      <c r="H33" s="2"/>
    </row>
    <row r="34" spans="1:9" thickBot="1">
      <c r="A34" s="12" t="s">
        <v>1</v>
      </c>
      <c r="B34" s="3" t="s">
        <v>17</v>
      </c>
      <c r="C34" s="12"/>
      <c r="D34" s="12" t="s">
        <v>4</v>
      </c>
      <c r="E34" s="12" t="s">
        <v>6</v>
      </c>
      <c r="F34" s="3" t="s">
        <v>43</v>
      </c>
      <c r="G34" s="3" t="s">
        <v>86</v>
      </c>
      <c r="H34" s="21" t="s">
        <v>166</v>
      </c>
    </row>
    <row r="35" spans="1:9" ht="43.5" thickBot="1">
      <c r="A35" s="12" t="s">
        <v>16</v>
      </c>
      <c r="B35" s="3" t="s">
        <v>44</v>
      </c>
      <c r="C35" s="12"/>
      <c r="D35" s="12" t="s">
        <v>45</v>
      </c>
      <c r="E35" s="12" t="s">
        <v>4</v>
      </c>
      <c r="F35" s="3" t="s">
        <v>90</v>
      </c>
      <c r="G35" s="3" t="s">
        <v>86</v>
      </c>
      <c r="H35" s="16" t="s">
        <v>199</v>
      </c>
    </row>
    <row r="36" spans="1:9" ht="29.25" thickBot="1">
      <c r="A36" s="12" t="s">
        <v>1</v>
      </c>
      <c r="B36" s="3" t="s">
        <v>18</v>
      </c>
      <c r="C36" s="12"/>
      <c r="D36" s="12" t="s">
        <v>4</v>
      </c>
      <c r="E36" s="12" t="s">
        <v>6</v>
      </c>
      <c r="F36" s="3" t="s">
        <v>46</v>
      </c>
      <c r="G36" s="15" t="s">
        <v>86</v>
      </c>
      <c r="H36" s="16" t="s">
        <v>200</v>
      </c>
    </row>
    <row r="37" spans="1:9" thickBot="1">
      <c r="A37" s="12" t="s">
        <v>1</v>
      </c>
      <c r="B37" s="3" t="s">
        <v>19</v>
      </c>
      <c r="C37" s="12"/>
      <c r="D37" s="12" t="s">
        <v>4</v>
      </c>
      <c r="E37" s="12" t="s">
        <v>6</v>
      </c>
      <c r="F37" s="3" t="s">
        <v>47</v>
      </c>
      <c r="G37" s="15" t="s">
        <v>86</v>
      </c>
      <c r="H37" s="16" t="s">
        <v>201</v>
      </c>
      <c r="I37" s="20"/>
    </row>
    <row r="38" spans="1:9" ht="29.25" thickBot="1">
      <c r="A38" s="12" t="s">
        <v>1</v>
      </c>
      <c r="B38" s="3" t="s">
        <v>22</v>
      </c>
      <c r="C38" s="12"/>
      <c r="D38" s="12" t="s">
        <v>4</v>
      </c>
      <c r="E38" s="12" t="s">
        <v>6</v>
      </c>
      <c r="F38" s="3" t="s">
        <v>23</v>
      </c>
      <c r="G38" s="15" t="s">
        <v>86</v>
      </c>
      <c r="H38" s="16" t="s">
        <v>221</v>
      </c>
    </row>
    <row r="39" spans="1:9" thickBot="1">
      <c r="A39" s="12" t="s">
        <v>1</v>
      </c>
      <c r="B39" s="3" t="s">
        <v>24</v>
      </c>
      <c r="C39" s="12"/>
      <c r="D39" s="12" t="s">
        <v>4</v>
      </c>
      <c r="E39" s="12" t="s">
        <v>6</v>
      </c>
      <c r="F39" s="3" t="s">
        <v>25</v>
      </c>
      <c r="G39" s="15" t="s">
        <v>86</v>
      </c>
      <c r="H39" s="3" t="s">
        <v>19</v>
      </c>
    </row>
    <row r="40" spans="1:9" thickBot="1">
      <c r="A40" s="12" t="s">
        <v>16</v>
      </c>
      <c r="B40" s="3" t="s">
        <v>115</v>
      </c>
      <c r="C40" s="12"/>
      <c r="D40" s="12" t="s">
        <v>20</v>
      </c>
      <c r="E40" s="12" t="s">
        <v>6</v>
      </c>
      <c r="F40" s="3" t="s">
        <v>28</v>
      </c>
      <c r="G40" s="3" t="s">
        <v>86</v>
      </c>
      <c r="H40" s="3" t="s">
        <v>111</v>
      </c>
    </row>
    <row r="41" spans="1:9" thickBot="1">
      <c r="A41" s="12" t="s">
        <v>16</v>
      </c>
      <c r="B41" s="3" t="s">
        <v>116</v>
      </c>
      <c r="C41" s="12"/>
      <c r="D41" s="12" t="s">
        <v>20</v>
      </c>
      <c r="E41" s="12" t="s">
        <v>6</v>
      </c>
      <c r="F41" s="3" t="s">
        <v>28</v>
      </c>
      <c r="G41" s="3" t="s">
        <v>86</v>
      </c>
      <c r="H41" s="3" t="s">
        <v>112</v>
      </c>
    </row>
    <row r="42" spans="1:9" thickBot="1">
      <c r="A42" s="12" t="s">
        <v>16</v>
      </c>
      <c r="B42" s="3" t="s">
        <v>117</v>
      </c>
      <c r="C42" s="12"/>
      <c r="D42" s="12" t="s">
        <v>20</v>
      </c>
      <c r="E42" s="12" t="s">
        <v>6</v>
      </c>
      <c r="F42" s="3" t="s">
        <v>28</v>
      </c>
      <c r="G42" s="3" t="s">
        <v>86</v>
      </c>
      <c r="H42" s="3" t="s">
        <v>113</v>
      </c>
    </row>
    <row r="43" spans="1:9" thickBot="1">
      <c r="A43" s="12" t="s">
        <v>16</v>
      </c>
      <c r="B43" s="3" t="s">
        <v>118</v>
      </c>
      <c r="C43" s="12"/>
      <c r="D43" s="12" t="s">
        <v>20</v>
      </c>
      <c r="E43" s="12" t="s">
        <v>6</v>
      </c>
      <c r="F43" s="3" t="s">
        <v>28</v>
      </c>
      <c r="G43" s="3" t="s">
        <v>86</v>
      </c>
      <c r="H43" s="3" t="s">
        <v>114</v>
      </c>
    </row>
    <row r="44" spans="1:9" thickBot="1">
      <c r="A44" s="12" t="s">
        <v>16</v>
      </c>
      <c r="B44" s="3" t="s">
        <v>119</v>
      </c>
      <c r="C44" s="12"/>
      <c r="D44" s="12" t="s">
        <v>20</v>
      </c>
      <c r="E44" s="12" t="s">
        <v>6</v>
      </c>
      <c r="F44" s="3" t="s">
        <v>28</v>
      </c>
      <c r="G44" s="3" t="s">
        <v>86</v>
      </c>
      <c r="H44" s="17" t="s">
        <v>115</v>
      </c>
    </row>
    <row r="45" spans="1:9" thickBot="1">
      <c r="A45" s="12" t="s">
        <v>16</v>
      </c>
      <c r="B45" s="3" t="s">
        <v>120</v>
      </c>
      <c r="C45" s="12"/>
      <c r="D45" s="12" t="s">
        <v>20</v>
      </c>
      <c r="E45" s="12" t="s">
        <v>6</v>
      </c>
      <c r="F45" s="3" t="s">
        <v>28</v>
      </c>
      <c r="G45" s="3" t="s">
        <v>86</v>
      </c>
      <c r="H45" s="17" t="s">
        <v>116</v>
      </c>
    </row>
    <row r="46" spans="1:9" thickBot="1">
      <c r="A46" s="12" t="s">
        <v>16</v>
      </c>
      <c r="B46" s="3" t="s">
        <v>121</v>
      </c>
      <c r="C46" s="12"/>
      <c r="D46" s="12" t="s">
        <v>20</v>
      </c>
      <c r="E46" s="12" t="s">
        <v>6</v>
      </c>
      <c r="F46" s="3" t="s">
        <v>28</v>
      </c>
      <c r="G46" s="3" t="s">
        <v>86</v>
      </c>
      <c r="H46" s="17" t="s">
        <v>117</v>
      </c>
    </row>
    <row r="47" spans="1:9" thickBot="1">
      <c r="A47" s="12" t="s">
        <v>16</v>
      </c>
      <c r="B47" s="3" t="s">
        <v>122</v>
      </c>
      <c r="C47" s="12"/>
      <c r="D47" s="12" t="s">
        <v>20</v>
      </c>
      <c r="E47" s="12" t="s">
        <v>6</v>
      </c>
      <c r="F47" s="3" t="s">
        <v>28</v>
      </c>
      <c r="G47" s="3" t="s">
        <v>86</v>
      </c>
      <c r="H47" s="17" t="s">
        <v>118</v>
      </c>
    </row>
    <row r="48" spans="1:9" thickBot="1">
      <c r="A48" s="12" t="s">
        <v>1</v>
      </c>
      <c r="B48" s="3" t="s">
        <v>29</v>
      </c>
      <c r="C48" s="12"/>
      <c r="D48" s="12" t="s">
        <v>4</v>
      </c>
      <c r="E48" s="12" t="s">
        <v>6</v>
      </c>
      <c r="F48" s="3" t="s">
        <v>30</v>
      </c>
      <c r="G48" s="15" t="s">
        <v>86</v>
      </c>
      <c r="H48" s="3" t="s">
        <v>19</v>
      </c>
    </row>
    <row r="49" spans="1:8" thickBot="1">
      <c r="A49" s="12" t="s">
        <v>1</v>
      </c>
      <c r="B49" s="3" t="s">
        <v>31</v>
      </c>
      <c r="C49" s="12"/>
      <c r="D49" s="12" t="s">
        <v>4</v>
      </c>
      <c r="E49" s="12" t="s">
        <v>6</v>
      </c>
      <c r="F49" s="3" t="s">
        <v>32</v>
      </c>
      <c r="G49" s="15" t="s">
        <v>86</v>
      </c>
      <c r="H49" s="16" t="s">
        <v>202</v>
      </c>
    </row>
    <row r="50" spans="1:8" ht="43.5" thickBot="1">
      <c r="A50" s="12" t="s">
        <v>16</v>
      </c>
      <c r="B50" s="3" t="s">
        <v>51</v>
      </c>
      <c r="C50" s="12"/>
      <c r="D50" s="12" t="s">
        <v>35</v>
      </c>
      <c r="E50" s="12" t="s">
        <v>4</v>
      </c>
      <c r="F50" s="3" t="s">
        <v>36</v>
      </c>
      <c r="G50" s="3" t="s">
        <v>86</v>
      </c>
      <c r="H50" s="16" t="s">
        <v>203</v>
      </c>
    </row>
    <row r="51" spans="1:8" thickBot="1">
      <c r="A51" s="12" t="s">
        <v>1</v>
      </c>
      <c r="B51" s="3" t="s">
        <v>37</v>
      </c>
      <c r="C51" s="12"/>
      <c r="D51" s="12" t="s">
        <v>4</v>
      </c>
      <c r="E51" s="12" t="s">
        <v>6</v>
      </c>
      <c r="F51" s="3" t="s">
        <v>38</v>
      </c>
      <c r="G51" s="15" t="s">
        <v>86</v>
      </c>
      <c r="H51" s="3" t="s">
        <v>31</v>
      </c>
    </row>
    <row r="52" spans="1:8" thickBot="1">
      <c r="A52" s="12" t="s">
        <v>1</v>
      </c>
      <c r="B52" s="3" t="s">
        <v>39</v>
      </c>
      <c r="C52" s="12"/>
      <c r="D52" s="12" t="s">
        <v>4</v>
      </c>
      <c r="E52" s="12" t="s">
        <v>6</v>
      </c>
      <c r="F52" s="3" t="s">
        <v>40</v>
      </c>
      <c r="G52" s="15" t="s">
        <v>86</v>
      </c>
      <c r="H52" s="6" t="s">
        <v>188</v>
      </c>
    </row>
    <row r="53" spans="1:8" thickBot="1">
      <c r="A53" s="12" t="s">
        <v>16</v>
      </c>
      <c r="B53" s="3" t="s">
        <v>123</v>
      </c>
      <c r="C53" s="12"/>
      <c r="D53" s="12" t="s">
        <v>55</v>
      </c>
      <c r="E53" s="12" t="s">
        <v>6</v>
      </c>
      <c r="F53" s="3" t="s">
        <v>56</v>
      </c>
      <c r="G53" s="3" t="s">
        <v>86</v>
      </c>
      <c r="H53" s="17" t="s">
        <v>107</v>
      </c>
    </row>
    <row r="54" spans="1:8" thickBot="1">
      <c r="A54" s="12" t="s">
        <v>16</v>
      </c>
      <c r="B54" s="3" t="s">
        <v>124</v>
      </c>
      <c r="C54" s="12"/>
      <c r="D54" s="12" t="s">
        <v>55</v>
      </c>
      <c r="E54" s="12" t="s">
        <v>6</v>
      </c>
      <c r="F54" s="3" t="s">
        <v>56</v>
      </c>
      <c r="G54" s="3" t="s">
        <v>86</v>
      </c>
      <c r="H54" s="17" t="s">
        <v>108</v>
      </c>
    </row>
    <row r="55" spans="1:8" thickBot="1">
      <c r="A55" s="12" t="s">
        <v>16</v>
      </c>
      <c r="B55" s="3" t="s">
        <v>125</v>
      </c>
      <c r="C55" s="12"/>
      <c r="D55" s="12" t="s">
        <v>55</v>
      </c>
      <c r="E55" s="12" t="s">
        <v>6</v>
      </c>
      <c r="F55" s="3" t="s">
        <v>56</v>
      </c>
      <c r="G55" s="3" t="s">
        <v>86</v>
      </c>
      <c r="H55" s="17" t="s">
        <v>109</v>
      </c>
    </row>
    <row r="56" spans="1:8" thickBot="1">
      <c r="A56" s="12" t="s">
        <v>16</v>
      </c>
      <c r="B56" s="3" t="s">
        <v>126</v>
      </c>
      <c r="C56" s="12"/>
      <c r="D56" s="12" t="s">
        <v>55</v>
      </c>
      <c r="E56" s="12" t="s">
        <v>6</v>
      </c>
      <c r="F56" s="3" t="s">
        <v>56</v>
      </c>
      <c r="G56" s="3" t="s">
        <v>86</v>
      </c>
      <c r="H56" s="17" t="s">
        <v>110</v>
      </c>
    </row>
    <row r="57" spans="1:8" thickBot="1">
      <c r="A57" s="12" t="s">
        <v>16</v>
      </c>
      <c r="B57" s="3" t="s">
        <v>127</v>
      </c>
      <c r="C57" s="12"/>
      <c r="D57" s="12" t="s">
        <v>55</v>
      </c>
      <c r="E57" s="12" t="s">
        <v>6</v>
      </c>
      <c r="F57" s="3" t="s">
        <v>56</v>
      </c>
      <c r="G57" s="3" t="s">
        <v>86</v>
      </c>
      <c r="H57" s="17" t="s">
        <v>123</v>
      </c>
    </row>
    <row r="58" spans="1:8" thickBot="1">
      <c r="A58" s="12" t="s">
        <v>16</v>
      </c>
      <c r="B58" s="3" t="s">
        <v>128</v>
      </c>
      <c r="C58" s="12"/>
      <c r="D58" s="12" t="s">
        <v>55</v>
      </c>
      <c r="E58" s="12" t="s">
        <v>6</v>
      </c>
      <c r="F58" s="3" t="s">
        <v>56</v>
      </c>
      <c r="G58" s="3" t="s">
        <v>86</v>
      </c>
      <c r="H58" s="17" t="s">
        <v>124</v>
      </c>
    </row>
    <row r="59" spans="1:8" thickBot="1">
      <c r="A59" s="12" t="s">
        <v>16</v>
      </c>
      <c r="B59" s="3" t="s">
        <v>129</v>
      </c>
      <c r="C59" s="12"/>
      <c r="D59" s="12" t="s">
        <v>55</v>
      </c>
      <c r="E59" s="12" t="s">
        <v>6</v>
      </c>
      <c r="F59" s="3" t="s">
        <v>56</v>
      </c>
      <c r="G59" s="3" t="s">
        <v>86</v>
      </c>
      <c r="H59" s="17" t="s">
        <v>125</v>
      </c>
    </row>
    <row r="60" spans="1:8" thickBot="1">
      <c r="A60" s="12" t="s">
        <v>16</v>
      </c>
      <c r="B60" s="3" t="s">
        <v>130</v>
      </c>
      <c r="C60" s="12"/>
      <c r="D60" s="12" t="s">
        <v>55</v>
      </c>
      <c r="E60" s="12" t="s">
        <v>6</v>
      </c>
      <c r="F60" s="3" t="s">
        <v>56</v>
      </c>
      <c r="G60" s="3" t="s">
        <v>86</v>
      </c>
      <c r="H60" s="17" t="s">
        <v>126</v>
      </c>
    </row>
    <row r="61" spans="1:8" ht="43.5" thickBot="1">
      <c r="A61" s="12" t="s">
        <v>16</v>
      </c>
      <c r="B61" s="3" t="s">
        <v>58</v>
      </c>
      <c r="C61" s="12"/>
      <c r="D61" s="12" t="s">
        <v>59</v>
      </c>
      <c r="E61" s="12" t="s">
        <v>4</v>
      </c>
      <c r="F61" s="3" t="s">
        <v>60</v>
      </c>
      <c r="G61" s="3" t="s">
        <v>86</v>
      </c>
      <c r="H61" s="16" t="s">
        <v>204</v>
      </c>
    </row>
    <row r="62" spans="1:8" thickBot="1">
      <c r="A62" s="12" t="s">
        <v>1</v>
      </c>
      <c r="B62" s="3" t="s">
        <v>131</v>
      </c>
      <c r="C62" s="12"/>
      <c r="D62" s="12" t="s">
        <v>4</v>
      </c>
      <c r="E62" s="12" t="s">
        <v>4</v>
      </c>
      <c r="F62" s="3" t="s">
        <v>64</v>
      </c>
      <c r="G62" s="3" t="s">
        <v>88</v>
      </c>
      <c r="H62" s="17" t="s">
        <v>97</v>
      </c>
    </row>
    <row r="63" spans="1:8" thickBot="1">
      <c r="A63" s="12" t="s">
        <v>1</v>
      </c>
      <c r="B63" s="3" t="s">
        <v>132</v>
      </c>
      <c r="C63" s="12"/>
      <c r="D63" s="12" t="s">
        <v>4</v>
      </c>
      <c r="E63" s="12" t="s">
        <v>4</v>
      </c>
      <c r="F63" s="3" t="s">
        <v>64</v>
      </c>
      <c r="G63" s="3" t="s">
        <v>88</v>
      </c>
      <c r="H63" s="17" t="s">
        <v>98</v>
      </c>
    </row>
    <row r="64" spans="1:8" thickBot="1">
      <c r="A64" s="12" t="s">
        <v>1</v>
      </c>
      <c r="B64" s="3" t="s">
        <v>133</v>
      </c>
      <c r="C64" s="12"/>
      <c r="D64" s="12" t="s">
        <v>4</v>
      </c>
      <c r="E64" s="12" t="s">
        <v>4</v>
      </c>
      <c r="F64" s="3" t="s">
        <v>64</v>
      </c>
      <c r="G64" s="3" t="s">
        <v>88</v>
      </c>
      <c r="H64" s="17" t="s">
        <v>99</v>
      </c>
    </row>
    <row r="65" spans="1:8" thickBot="1">
      <c r="A65" s="12" t="s">
        <v>1</v>
      </c>
      <c r="B65" s="3" t="s">
        <v>134</v>
      </c>
      <c r="C65" s="12"/>
      <c r="D65" s="12" t="s">
        <v>4</v>
      </c>
      <c r="E65" s="12" t="s">
        <v>4</v>
      </c>
      <c r="F65" s="3" t="s">
        <v>64</v>
      </c>
      <c r="G65" s="3" t="s">
        <v>88</v>
      </c>
      <c r="H65" s="17" t="s">
        <v>100</v>
      </c>
    </row>
    <row r="66" spans="1:8" thickBot="1">
      <c r="A66" s="12" t="s">
        <v>1</v>
      </c>
      <c r="B66" s="3" t="s">
        <v>135</v>
      </c>
      <c r="C66" s="12"/>
      <c r="D66" s="12" t="s">
        <v>4</v>
      </c>
      <c r="E66" s="12" t="s">
        <v>4</v>
      </c>
      <c r="F66" s="3" t="s">
        <v>65</v>
      </c>
      <c r="G66" s="3" t="s">
        <v>88</v>
      </c>
      <c r="H66" s="17" t="s">
        <v>101</v>
      </c>
    </row>
    <row r="67" spans="1:8" thickBot="1">
      <c r="A67" s="12" t="s">
        <v>1</v>
      </c>
      <c r="B67" s="3" t="s">
        <v>136</v>
      </c>
      <c r="C67" s="12"/>
      <c r="D67" s="12" t="s">
        <v>4</v>
      </c>
      <c r="E67" s="12" t="s">
        <v>4</v>
      </c>
      <c r="F67" s="3" t="s">
        <v>65</v>
      </c>
      <c r="G67" s="3" t="s">
        <v>88</v>
      </c>
      <c r="H67" s="17" t="s">
        <v>102</v>
      </c>
    </row>
    <row r="68" spans="1:8" thickBot="1">
      <c r="A68" s="12" t="s">
        <v>1</v>
      </c>
      <c r="B68" s="3" t="s">
        <v>137</v>
      </c>
      <c r="C68" s="12"/>
      <c r="D68" s="12" t="s">
        <v>4</v>
      </c>
      <c r="E68" s="12" t="s">
        <v>4</v>
      </c>
      <c r="F68" s="3" t="s">
        <v>65</v>
      </c>
      <c r="G68" s="3" t="s">
        <v>88</v>
      </c>
      <c r="H68" s="17" t="s">
        <v>103</v>
      </c>
    </row>
    <row r="69" spans="1:8" thickBot="1">
      <c r="A69" s="12" t="s">
        <v>1</v>
      </c>
      <c r="B69" s="3" t="s">
        <v>138</v>
      </c>
      <c r="C69" s="12"/>
      <c r="D69" s="12" t="s">
        <v>4</v>
      </c>
      <c r="E69" s="12" t="s">
        <v>4</v>
      </c>
      <c r="F69" s="3" t="s">
        <v>65</v>
      </c>
      <c r="G69" s="3" t="s">
        <v>88</v>
      </c>
      <c r="H69" s="17" t="s">
        <v>104</v>
      </c>
    </row>
    <row r="70" spans="1:8" thickBot="1">
      <c r="A70" s="12" t="s">
        <v>1</v>
      </c>
      <c r="B70" s="3" t="s">
        <v>66</v>
      </c>
      <c r="C70" s="12"/>
      <c r="D70" s="12" t="s">
        <v>4</v>
      </c>
      <c r="E70" s="12" t="s">
        <v>6</v>
      </c>
      <c r="F70" s="3" t="s">
        <v>67</v>
      </c>
      <c r="G70" s="3" t="s">
        <v>88</v>
      </c>
      <c r="H70" s="3" t="s">
        <v>52</v>
      </c>
    </row>
    <row r="71" spans="1:8" thickBot="1">
      <c r="A71" s="12" t="s">
        <v>1</v>
      </c>
      <c r="B71" s="3" t="s">
        <v>68</v>
      </c>
      <c r="C71" s="12"/>
      <c r="D71" s="12" t="s">
        <v>4</v>
      </c>
      <c r="E71" s="12" t="s">
        <v>4</v>
      </c>
      <c r="F71" s="3" t="s">
        <v>69</v>
      </c>
      <c r="G71" s="3" t="s">
        <v>88</v>
      </c>
      <c r="H71" s="6" t="s">
        <v>0</v>
      </c>
    </row>
    <row r="72" spans="1:8" thickBot="1">
      <c r="A72" s="12" t="s">
        <v>1</v>
      </c>
      <c r="B72" s="3" t="s">
        <v>139</v>
      </c>
      <c r="C72" s="12"/>
      <c r="D72" s="12" t="s">
        <v>4</v>
      </c>
      <c r="E72" s="12" t="s">
        <v>6</v>
      </c>
      <c r="F72" s="3" t="s">
        <v>70</v>
      </c>
      <c r="G72" s="3" t="s">
        <v>88</v>
      </c>
    </row>
    <row r="73" spans="1:8" thickBot="1">
      <c r="A73" s="12" t="s">
        <v>1</v>
      </c>
      <c r="B73" s="3" t="s">
        <v>140</v>
      </c>
      <c r="C73" s="12"/>
      <c r="D73" s="12" t="s">
        <v>4</v>
      </c>
      <c r="E73" s="12" t="s">
        <v>6</v>
      </c>
      <c r="F73" s="3" t="s">
        <v>70</v>
      </c>
      <c r="G73" s="3" t="s">
        <v>88</v>
      </c>
    </row>
    <row r="74" spans="1:8" thickBot="1">
      <c r="A74" s="12" t="s">
        <v>1</v>
      </c>
      <c r="B74" s="3" t="s">
        <v>141</v>
      </c>
      <c r="C74" s="12"/>
      <c r="D74" s="12" t="s">
        <v>4</v>
      </c>
      <c r="E74" s="12" t="s">
        <v>6</v>
      </c>
      <c r="F74" s="3" t="s">
        <v>70</v>
      </c>
      <c r="G74" s="3" t="s">
        <v>88</v>
      </c>
    </row>
    <row r="75" spans="1:8" thickBot="1">
      <c r="A75" s="12" t="s">
        <v>1</v>
      </c>
      <c r="B75" s="3" t="s">
        <v>142</v>
      </c>
      <c r="C75" s="12"/>
      <c r="D75" s="12" t="s">
        <v>4</v>
      </c>
      <c r="E75" s="12" t="s">
        <v>6</v>
      </c>
      <c r="F75" s="3" t="s">
        <v>70</v>
      </c>
      <c r="G75" s="3" t="s">
        <v>88</v>
      </c>
    </row>
    <row r="76" spans="1:8" thickBot="1">
      <c r="A76" s="12" t="s">
        <v>1</v>
      </c>
      <c r="B76" s="3" t="s">
        <v>71</v>
      </c>
      <c r="C76" s="12"/>
      <c r="D76" s="12" t="s">
        <v>4</v>
      </c>
      <c r="E76" s="12" t="s">
        <v>6</v>
      </c>
      <c r="F76" s="3" t="s">
        <v>72</v>
      </c>
      <c r="G76" s="15" t="s">
        <v>86</v>
      </c>
      <c r="H76" s="17" t="s">
        <v>195</v>
      </c>
    </row>
    <row r="77" spans="1:8" thickBot="1">
      <c r="A77" s="12" t="s">
        <v>1</v>
      </c>
      <c r="B77" s="3" t="s">
        <v>73</v>
      </c>
      <c r="C77" s="12"/>
      <c r="D77" s="12" t="s">
        <v>4</v>
      </c>
      <c r="E77" s="12" t="s">
        <v>6</v>
      </c>
      <c r="F77" s="3" t="s">
        <v>74</v>
      </c>
      <c r="G77" s="15" t="s">
        <v>86</v>
      </c>
      <c r="H77" s="17" t="s">
        <v>196</v>
      </c>
    </row>
    <row r="78" spans="1:8" ht="43.5" thickBot="1">
      <c r="A78" s="12" t="s">
        <v>16</v>
      </c>
      <c r="B78" s="3" t="s">
        <v>75</v>
      </c>
      <c r="C78" s="12"/>
      <c r="D78" s="12" t="s">
        <v>20</v>
      </c>
      <c r="E78" s="12" t="s">
        <v>6</v>
      </c>
      <c r="F78" s="3" t="s">
        <v>76</v>
      </c>
      <c r="G78" s="3" t="s">
        <v>88</v>
      </c>
      <c r="H78" s="16" t="s">
        <v>205</v>
      </c>
    </row>
    <row r="79" spans="1:8" thickBot="1">
      <c r="A79" s="12" t="s">
        <v>16</v>
      </c>
      <c r="B79" s="3" t="s">
        <v>77</v>
      </c>
      <c r="C79" s="12"/>
      <c r="D79" s="12" t="s">
        <v>78</v>
      </c>
      <c r="E79" s="12" t="s">
        <v>4</v>
      </c>
      <c r="F79" s="3" t="s">
        <v>79</v>
      </c>
      <c r="G79" s="3" t="s">
        <v>86</v>
      </c>
      <c r="H79" s="16" t="s">
        <v>206</v>
      </c>
    </row>
    <row r="80" spans="1:8" thickBot="1">
      <c r="A80" s="12" t="s">
        <v>1</v>
      </c>
      <c r="B80" s="3" t="s">
        <v>143</v>
      </c>
      <c r="C80" s="12"/>
      <c r="D80" s="12" t="s">
        <v>4</v>
      </c>
      <c r="E80" s="12" t="s">
        <v>4</v>
      </c>
      <c r="F80" s="3" t="s">
        <v>80</v>
      </c>
      <c r="G80" s="3" t="s">
        <v>88</v>
      </c>
    </row>
    <row r="81" spans="1:8" thickBot="1">
      <c r="A81" s="12" t="s">
        <v>1</v>
      </c>
      <c r="B81" s="3" t="s">
        <v>144</v>
      </c>
      <c r="C81" s="12"/>
      <c r="D81" s="12" t="s">
        <v>4</v>
      </c>
      <c r="E81" s="12" t="s">
        <v>4</v>
      </c>
      <c r="F81" s="3" t="s">
        <v>80</v>
      </c>
      <c r="G81" s="3" t="s">
        <v>88</v>
      </c>
    </row>
    <row r="82" spans="1:8" thickBot="1">
      <c r="A82" s="12" t="s">
        <v>1</v>
      </c>
      <c r="B82" s="3" t="s">
        <v>145</v>
      </c>
      <c r="C82" s="12"/>
      <c r="D82" s="12" t="s">
        <v>4</v>
      </c>
      <c r="E82" s="12" t="s">
        <v>4</v>
      </c>
      <c r="F82" s="3" t="s">
        <v>80</v>
      </c>
      <c r="G82" s="3" t="s">
        <v>88</v>
      </c>
    </row>
    <row r="83" spans="1:8" thickBot="1">
      <c r="A83" s="12" t="s">
        <v>1</v>
      </c>
      <c r="B83" s="3" t="s">
        <v>146</v>
      </c>
      <c r="C83" s="12"/>
      <c r="D83" s="12" t="s">
        <v>4</v>
      </c>
      <c r="E83" s="12" t="s">
        <v>4</v>
      </c>
      <c r="F83" s="3" t="s">
        <v>80</v>
      </c>
      <c r="G83" s="3" t="s">
        <v>88</v>
      </c>
    </row>
    <row r="84" spans="1:8" thickBot="1">
      <c r="A84" s="12" t="s">
        <v>16</v>
      </c>
      <c r="B84" s="3" t="s">
        <v>81</v>
      </c>
      <c r="C84" s="12"/>
      <c r="D84" s="12" t="s">
        <v>20</v>
      </c>
      <c r="E84" s="12" t="s">
        <v>6</v>
      </c>
      <c r="F84" s="3" t="s">
        <v>82</v>
      </c>
      <c r="G84" s="3" t="s">
        <v>88</v>
      </c>
      <c r="H84" s="17" t="s">
        <v>197</v>
      </c>
    </row>
    <row r="85" spans="1:8" thickBot="1">
      <c r="A85" s="2"/>
      <c r="B85" s="2"/>
      <c r="C85" s="2"/>
      <c r="D85" s="2"/>
      <c r="E85" s="2"/>
      <c r="F85" s="2"/>
      <c r="G85" s="2"/>
      <c r="H85" s="2"/>
    </row>
    <row r="86" spans="1:8" thickBot="1">
      <c r="A86" s="19" t="s">
        <v>222</v>
      </c>
      <c r="B86" s="17" t="s">
        <v>88</v>
      </c>
      <c r="C86" s="17"/>
      <c r="D86" s="17" t="s">
        <v>220</v>
      </c>
      <c r="F86" s="17" t="str">
        <f>"  "&amp;B86&amp;" "&amp;D86</f>
        <v xml:space="preserve">  fifo_async fifo_async_0</v>
      </c>
    </row>
    <row r="87" spans="1:8" thickBot="1">
      <c r="B87" s="9" t="s">
        <v>210</v>
      </c>
      <c r="C87" s="22" t="s">
        <v>3</v>
      </c>
      <c r="D87" s="3" t="s">
        <v>81</v>
      </c>
      <c r="F87" s="17" t="str">
        <f>"    ."&amp;B87&amp;" ( "&amp;D87&amp;" )"</f>
        <v xml:space="preserve">    .rst ( fifo_rst_r )</v>
      </c>
    </row>
    <row r="88" spans="1:8" thickBot="1">
      <c r="B88" s="9" t="s">
        <v>211</v>
      </c>
      <c r="C88" s="22" t="s">
        <v>3</v>
      </c>
      <c r="D88" s="3" t="s">
        <v>131</v>
      </c>
      <c r="F88" s="17" t="str">
        <f t="shared" ref="F88:F95" si="0">"    ."&amp;B88&amp;" ( "&amp;D88&amp;" )"</f>
        <v xml:space="preserve">    .wck ( fifo_wck0 )</v>
      </c>
    </row>
    <row r="89" spans="1:8" thickBot="1">
      <c r="B89" s="9" t="s">
        <v>213</v>
      </c>
      <c r="C89" s="22" t="s">
        <v>3</v>
      </c>
      <c r="D89" s="3" t="s">
        <v>66</v>
      </c>
      <c r="F89" s="17" t="str">
        <f t="shared" si="0"/>
        <v xml:space="preserve">    .wen ( fifo_wen )</v>
      </c>
    </row>
    <row r="90" spans="1:8" thickBot="1">
      <c r="B90" s="9" t="s">
        <v>215</v>
      </c>
      <c r="C90" s="22" t="s">
        <v>3</v>
      </c>
      <c r="D90" s="3" t="s">
        <v>135</v>
      </c>
      <c r="F90" s="17" t="str">
        <f t="shared" si="0"/>
        <v xml:space="preserve">    .wdt[7:0] ( fifo_wdt0[7:0] )</v>
      </c>
    </row>
    <row r="91" spans="1:8" thickBot="1">
      <c r="B91" s="9" t="s">
        <v>217</v>
      </c>
      <c r="C91" s="22" t="s">
        <v>41</v>
      </c>
      <c r="D91" s="3" t="s">
        <v>218</v>
      </c>
      <c r="F91" s="17" t="str">
        <f t="shared" si="0"/>
        <v xml:space="preserve">    .wfull ( (N.C.) )</v>
      </c>
    </row>
    <row r="92" spans="1:8" thickBot="1">
      <c r="B92" s="5" t="s">
        <v>212</v>
      </c>
      <c r="C92" s="22" t="s">
        <v>3</v>
      </c>
      <c r="D92" s="3" t="s">
        <v>68</v>
      </c>
      <c r="F92" s="17" t="str">
        <f t="shared" si="0"/>
        <v xml:space="preserve">    .rck ( fifo_rck )</v>
      </c>
    </row>
    <row r="93" spans="1:8" thickBot="1">
      <c r="B93" s="5" t="s">
        <v>214</v>
      </c>
      <c r="C93" s="22" t="s">
        <v>3</v>
      </c>
      <c r="D93" s="3" t="s">
        <v>75</v>
      </c>
      <c r="F93" s="17" t="str">
        <f t="shared" si="0"/>
        <v xml:space="preserve">    .ren ( fifo_ren_r )</v>
      </c>
    </row>
    <row r="94" spans="1:8" thickBot="1">
      <c r="B94" s="5" t="s">
        <v>216</v>
      </c>
      <c r="C94" s="22" t="s">
        <v>41</v>
      </c>
      <c r="D94" s="5" t="s">
        <v>143</v>
      </c>
      <c r="F94" s="17" t="str">
        <f t="shared" si="0"/>
        <v xml:space="preserve">    .rdt[7:0] ( fifo_rdt0[7:0] )</v>
      </c>
    </row>
    <row r="95" spans="1:8" thickBot="1">
      <c r="B95" s="5" t="s">
        <v>219</v>
      </c>
      <c r="C95" s="22" t="s">
        <v>41</v>
      </c>
      <c r="D95" s="5" t="s">
        <v>139</v>
      </c>
      <c r="F95" s="17" t="str">
        <f t="shared" si="0"/>
        <v xml:space="preserve">    .rempt ( fifo_rempt0 )</v>
      </c>
    </row>
    <row r="96" spans="1:8" thickBot="1">
      <c r="A96" s="19" t="s">
        <v>222</v>
      </c>
      <c r="B96" s="17" t="s">
        <v>88</v>
      </c>
      <c r="C96" s="17"/>
      <c r="D96" s="17" t="s">
        <v>223</v>
      </c>
      <c r="F96" s="17" t="str">
        <f>"  "&amp;B96&amp;" "&amp;D96</f>
        <v xml:space="preserve">  fifo_async fifo_async_1</v>
      </c>
    </row>
    <row r="97" spans="1:6" thickBot="1">
      <c r="B97" s="9" t="s">
        <v>210</v>
      </c>
      <c r="C97" s="22" t="s">
        <v>3</v>
      </c>
      <c r="D97" s="3" t="s">
        <v>81</v>
      </c>
      <c r="F97" s="17" t="str">
        <f>"    ."&amp;B97&amp;" ( "&amp;D97&amp;" )"</f>
        <v xml:space="preserve">    .rst ( fifo_rst_r )</v>
      </c>
    </row>
    <row r="98" spans="1:6" thickBot="1">
      <c r="B98" s="9" t="s">
        <v>211</v>
      </c>
      <c r="C98" s="22" t="s">
        <v>3</v>
      </c>
      <c r="D98" s="3" t="s">
        <v>132</v>
      </c>
      <c r="F98" s="17" t="str">
        <f t="shared" ref="F98:F105" si="1">"    ."&amp;B98&amp;" ( "&amp;D98&amp;" )"</f>
        <v xml:space="preserve">    .wck ( fifo_wck1 )</v>
      </c>
    </row>
    <row r="99" spans="1:6" thickBot="1">
      <c r="B99" s="9" t="s">
        <v>213</v>
      </c>
      <c r="C99" s="22" t="s">
        <v>3</v>
      </c>
      <c r="D99" s="3" t="s">
        <v>66</v>
      </c>
      <c r="F99" s="17" t="str">
        <f t="shared" si="1"/>
        <v xml:space="preserve">    .wen ( fifo_wen )</v>
      </c>
    </row>
    <row r="100" spans="1:6" thickBot="1">
      <c r="B100" s="9" t="s">
        <v>215</v>
      </c>
      <c r="C100" s="22" t="s">
        <v>3</v>
      </c>
      <c r="D100" s="3" t="s">
        <v>136</v>
      </c>
      <c r="F100" s="17" t="str">
        <f t="shared" si="1"/>
        <v xml:space="preserve">    .wdt[7:0] ( fifo_wdt1[7:0] )</v>
      </c>
    </row>
    <row r="101" spans="1:6" thickBot="1">
      <c r="B101" s="9" t="s">
        <v>217</v>
      </c>
      <c r="C101" s="22" t="s">
        <v>41</v>
      </c>
      <c r="D101" s="3" t="s">
        <v>218</v>
      </c>
      <c r="F101" s="17" t="str">
        <f t="shared" si="1"/>
        <v xml:space="preserve">    .wfull ( (N.C.) )</v>
      </c>
    </row>
    <row r="102" spans="1:6" thickBot="1">
      <c r="B102" s="5" t="s">
        <v>212</v>
      </c>
      <c r="C102" s="22" t="s">
        <v>3</v>
      </c>
      <c r="D102" s="3" t="s">
        <v>68</v>
      </c>
      <c r="F102" s="17" t="str">
        <f t="shared" si="1"/>
        <v xml:space="preserve">    .rck ( fifo_rck )</v>
      </c>
    </row>
    <row r="103" spans="1:6" thickBot="1">
      <c r="B103" s="5" t="s">
        <v>214</v>
      </c>
      <c r="C103" s="22" t="s">
        <v>3</v>
      </c>
      <c r="D103" s="3" t="s">
        <v>75</v>
      </c>
      <c r="F103" s="17" t="str">
        <f t="shared" si="1"/>
        <v xml:space="preserve">    .ren ( fifo_ren_r )</v>
      </c>
    </row>
    <row r="104" spans="1:6" thickBot="1">
      <c r="B104" s="5" t="s">
        <v>216</v>
      </c>
      <c r="C104" s="22" t="s">
        <v>41</v>
      </c>
      <c r="D104" s="5" t="s">
        <v>144</v>
      </c>
      <c r="F104" s="17" t="str">
        <f t="shared" si="1"/>
        <v xml:space="preserve">    .rdt[7:0] ( fifo_rdt1[7:0] )</v>
      </c>
    </row>
    <row r="105" spans="1:6" thickBot="1">
      <c r="B105" s="5" t="s">
        <v>219</v>
      </c>
      <c r="C105" s="22" t="s">
        <v>41</v>
      </c>
      <c r="D105" s="5" t="s">
        <v>140</v>
      </c>
      <c r="F105" s="17" t="str">
        <f t="shared" si="1"/>
        <v xml:space="preserve">    .rempt ( fifo_rempt1 )</v>
      </c>
    </row>
    <row r="106" spans="1:6" thickBot="1">
      <c r="A106" s="19" t="s">
        <v>222</v>
      </c>
      <c r="B106" s="17" t="s">
        <v>88</v>
      </c>
      <c r="C106" s="17"/>
      <c r="D106" s="17" t="s">
        <v>224</v>
      </c>
      <c r="F106" s="17" t="str">
        <f>"  "&amp;B106&amp;" "&amp;D106</f>
        <v xml:space="preserve">  fifo_async fifo_async_2</v>
      </c>
    </row>
    <row r="107" spans="1:6" thickBot="1">
      <c r="B107" s="9" t="s">
        <v>210</v>
      </c>
      <c r="C107" s="22" t="s">
        <v>3</v>
      </c>
      <c r="D107" s="3" t="s">
        <v>81</v>
      </c>
      <c r="F107" s="17" t="str">
        <f>"    ."&amp;B107&amp;" ( "&amp;D107&amp;" )"</f>
        <v xml:space="preserve">    .rst ( fifo_rst_r )</v>
      </c>
    </row>
    <row r="108" spans="1:6" thickBot="1">
      <c r="B108" s="9" t="s">
        <v>211</v>
      </c>
      <c r="C108" s="22" t="s">
        <v>3</v>
      </c>
      <c r="D108" s="3" t="s">
        <v>133</v>
      </c>
      <c r="F108" s="17" t="str">
        <f t="shared" ref="F108:F115" si="2">"    ."&amp;B108&amp;" ( "&amp;D108&amp;" )"</f>
        <v xml:space="preserve">    .wck ( fifo_wck2 )</v>
      </c>
    </row>
    <row r="109" spans="1:6" thickBot="1">
      <c r="B109" s="9" t="s">
        <v>213</v>
      </c>
      <c r="C109" s="22" t="s">
        <v>3</v>
      </c>
      <c r="D109" s="3" t="s">
        <v>66</v>
      </c>
      <c r="F109" s="17" t="str">
        <f t="shared" si="2"/>
        <v xml:space="preserve">    .wen ( fifo_wen )</v>
      </c>
    </row>
    <row r="110" spans="1:6" thickBot="1">
      <c r="B110" s="9" t="s">
        <v>215</v>
      </c>
      <c r="C110" s="22" t="s">
        <v>3</v>
      </c>
      <c r="D110" s="3" t="s">
        <v>137</v>
      </c>
      <c r="F110" s="17" t="str">
        <f t="shared" si="2"/>
        <v xml:space="preserve">    .wdt[7:0] ( fifo_wdt2[7:0] )</v>
      </c>
    </row>
    <row r="111" spans="1:6" thickBot="1">
      <c r="B111" s="9" t="s">
        <v>217</v>
      </c>
      <c r="C111" s="22" t="s">
        <v>41</v>
      </c>
      <c r="D111" s="3" t="s">
        <v>218</v>
      </c>
      <c r="F111" s="17" t="str">
        <f t="shared" si="2"/>
        <v xml:space="preserve">    .wfull ( (N.C.) )</v>
      </c>
    </row>
    <row r="112" spans="1:6" thickBot="1">
      <c r="B112" s="5" t="s">
        <v>212</v>
      </c>
      <c r="C112" s="22" t="s">
        <v>3</v>
      </c>
      <c r="D112" s="3" t="s">
        <v>68</v>
      </c>
      <c r="F112" s="17" t="str">
        <f t="shared" si="2"/>
        <v xml:space="preserve">    .rck ( fifo_rck )</v>
      </c>
    </row>
    <row r="113" spans="1:6" thickBot="1">
      <c r="B113" s="5" t="s">
        <v>214</v>
      </c>
      <c r="C113" s="22" t="s">
        <v>3</v>
      </c>
      <c r="D113" s="3" t="s">
        <v>75</v>
      </c>
      <c r="F113" s="17" t="str">
        <f t="shared" si="2"/>
        <v xml:space="preserve">    .ren ( fifo_ren_r )</v>
      </c>
    </row>
    <row r="114" spans="1:6" thickBot="1">
      <c r="B114" s="5" t="s">
        <v>216</v>
      </c>
      <c r="C114" s="22" t="s">
        <v>41</v>
      </c>
      <c r="D114" s="5" t="s">
        <v>145</v>
      </c>
      <c r="F114" s="17" t="str">
        <f t="shared" si="2"/>
        <v xml:space="preserve">    .rdt[7:0] ( fifo_rdt2[7:0] )</v>
      </c>
    </row>
    <row r="115" spans="1:6" thickBot="1">
      <c r="B115" s="5" t="s">
        <v>219</v>
      </c>
      <c r="C115" s="22" t="s">
        <v>41</v>
      </c>
      <c r="D115" s="5" t="s">
        <v>141</v>
      </c>
      <c r="F115" s="17" t="str">
        <f t="shared" si="2"/>
        <v xml:space="preserve">    .rempt ( fifo_rempt2 )</v>
      </c>
    </row>
    <row r="116" spans="1:6" thickBot="1">
      <c r="A116" s="19" t="s">
        <v>222</v>
      </c>
      <c r="B116" s="17" t="s">
        <v>88</v>
      </c>
      <c r="C116" s="17"/>
      <c r="D116" s="17" t="s">
        <v>225</v>
      </c>
      <c r="F116" s="17" t="str">
        <f>"  "&amp;B116&amp;" "&amp;D116</f>
        <v xml:space="preserve">  fifo_async fifo_async_3</v>
      </c>
    </row>
    <row r="117" spans="1:6" thickBot="1">
      <c r="B117" s="9" t="s">
        <v>210</v>
      </c>
      <c r="C117" s="22" t="s">
        <v>3</v>
      </c>
      <c r="D117" s="3" t="s">
        <v>81</v>
      </c>
      <c r="F117" s="17" t="str">
        <f>"    ."&amp;B117&amp;" ( "&amp;D117&amp;" )"</f>
        <v xml:space="preserve">    .rst ( fifo_rst_r )</v>
      </c>
    </row>
    <row r="118" spans="1:6" thickBot="1">
      <c r="B118" s="9" t="s">
        <v>211</v>
      </c>
      <c r="C118" s="22" t="s">
        <v>3</v>
      </c>
      <c r="D118" s="3" t="s">
        <v>134</v>
      </c>
      <c r="F118" s="17" t="str">
        <f t="shared" ref="F118:F125" si="3">"    ."&amp;B118&amp;" ( "&amp;D118&amp;" )"</f>
        <v xml:space="preserve">    .wck ( fifo_wck3 )</v>
      </c>
    </row>
    <row r="119" spans="1:6" thickBot="1">
      <c r="B119" s="9" t="s">
        <v>213</v>
      </c>
      <c r="C119" s="22" t="s">
        <v>3</v>
      </c>
      <c r="D119" s="3" t="s">
        <v>66</v>
      </c>
      <c r="F119" s="17" t="str">
        <f t="shared" si="3"/>
        <v xml:space="preserve">    .wen ( fifo_wen )</v>
      </c>
    </row>
    <row r="120" spans="1:6" thickBot="1">
      <c r="B120" s="9" t="s">
        <v>215</v>
      </c>
      <c r="C120" s="22" t="s">
        <v>3</v>
      </c>
      <c r="D120" s="3" t="s">
        <v>138</v>
      </c>
      <c r="F120" s="17" t="str">
        <f t="shared" si="3"/>
        <v xml:space="preserve">    .wdt[7:0] ( fifo_wdt3[7:0] )</v>
      </c>
    </row>
    <row r="121" spans="1:6" thickBot="1">
      <c r="B121" s="9" t="s">
        <v>217</v>
      </c>
      <c r="C121" s="22" t="s">
        <v>41</v>
      </c>
      <c r="D121" s="3"/>
      <c r="F121" s="17" t="str">
        <f t="shared" si="3"/>
        <v xml:space="preserve">    .wfull (  )</v>
      </c>
    </row>
    <row r="122" spans="1:6" thickBot="1">
      <c r="B122" s="5" t="s">
        <v>212</v>
      </c>
      <c r="C122" s="22" t="s">
        <v>3</v>
      </c>
      <c r="D122" s="3" t="s">
        <v>68</v>
      </c>
      <c r="F122" s="17" t="str">
        <f t="shared" si="3"/>
        <v xml:space="preserve">    .rck ( fifo_rck )</v>
      </c>
    </row>
    <row r="123" spans="1:6" thickBot="1">
      <c r="B123" s="5" t="s">
        <v>214</v>
      </c>
      <c r="C123" s="22" t="s">
        <v>3</v>
      </c>
      <c r="D123" s="3" t="s">
        <v>75</v>
      </c>
      <c r="F123" s="17" t="str">
        <f t="shared" si="3"/>
        <v xml:space="preserve">    .ren ( fifo_ren_r )</v>
      </c>
    </row>
    <row r="124" spans="1:6" thickBot="1">
      <c r="B124" s="5" t="s">
        <v>216</v>
      </c>
      <c r="C124" s="22" t="s">
        <v>41</v>
      </c>
      <c r="D124" s="5" t="s">
        <v>146</v>
      </c>
      <c r="F124" s="17" t="str">
        <f t="shared" si="3"/>
        <v xml:space="preserve">    .rdt[7:0] ( fifo_rdt3[7:0] )</v>
      </c>
    </row>
    <row r="125" spans="1:6" thickBot="1">
      <c r="B125" s="5" t="s">
        <v>219</v>
      </c>
      <c r="C125" s="22" t="s">
        <v>41</v>
      </c>
      <c r="D125" s="5" t="s">
        <v>142</v>
      </c>
      <c r="F125" s="17" t="str">
        <f t="shared" si="3"/>
        <v xml:space="preserve">    .rempt ( fifo_rempt3 )</v>
      </c>
    </row>
  </sheetData>
  <phoneticPr fontId="1"/>
  <conditionalFormatting sqref="B33">
    <cfRule type="duplicateValues" dxfId="4" priority="5"/>
  </conditionalFormatting>
  <conditionalFormatting sqref="B1:B84 B126:B1048576">
    <cfRule type="duplicateValues" dxfId="3" priority="3"/>
  </conditionalFormatting>
  <conditionalFormatting sqref="B126:B1048576 B1 B3">
    <cfRule type="duplicateValues" dxfId="2" priority="8"/>
  </conditionalFormatting>
  <conditionalFormatting sqref="B85">
    <cfRule type="duplicateValues" dxfId="1" priority="2"/>
  </conditionalFormatting>
  <conditionalFormatting sqref="B8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ke_val_declare">
                <anchor moveWithCells="1" sizeWithCells="1">
                  <from>
                    <xdr:col>6</xdr:col>
                    <xdr:colOff>9525</xdr:colOff>
                    <xdr:row>0</xdr:row>
                    <xdr:rowOff>19050</xdr:rowOff>
                  </from>
                  <to>
                    <xdr:col>7</xdr:col>
                    <xdr:colOff>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46FB3-1653-420C-8A35-CE4B51489A08}">
  <sheetPr codeName="Sheet2"/>
  <dimension ref="B1:C42"/>
  <sheetViews>
    <sheetView topLeftCell="A61" workbookViewId="0">
      <selection activeCell="G68" sqref="G68"/>
    </sheetView>
  </sheetViews>
  <sheetFormatPr defaultRowHeight="15"/>
  <cols>
    <col min="1" max="16384" width="9.140625" style="1"/>
  </cols>
  <sheetData>
    <row r="1" spans="2:3" ht="15.75" thickBot="1"/>
    <row r="2" spans="2:3" ht="143.25" thickBot="1">
      <c r="B2" s="3" t="s">
        <v>17</v>
      </c>
      <c r="C2" s="4" t="s">
        <v>166</v>
      </c>
    </row>
    <row r="3" spans="2:3" ht="85.5">
      <c r="B3" s="24" t="s">
        <v>44</v>
      </c>
      <c r="C3" s="7" t="s">
        <v>167</v>
      </c>
    </row>
    <row r="4" spans="2:3" ht="85.5">
      <c r="B4" s="25"/>
      <c r="C4" s="7" t="s">
        <v>168</v>
      </c>
    </row>
    <row r="5" spans="2:3" ht="43.5" thickBot="1">
      <c r="B5" s="26"/>
      <c r="C5" s="5" t="s">
        <v>169</v>
      </c>
    </row>
    <row r="6" spans="2:3" ht="71.25">
      <c r="B6" s="24" t="s">
        <v>18</v>
      </c>
      <c r="C6" s="7" t="s">
        <v>170</v>
      </c>
    </row>
    <row r="7" spans="2:3" ht="28.5">
      <c r="B7" s="25"/>
      <c r="C7" s="7" t="s">
        <v>171</v>
      </c>
    </row>
    <row r="8" spans="2:3" ht="100.5" thickBot="1">
      <c r="B8" s="26"/>
      <c r="C8" s="5" t="s">
        <v>172</v>
      </c>
    </row>
    <row r="9" spans="2:3" ht="28.5">
      <c r="B9" s="24" t="s">
        <v>19</v>
      </c>
      <c r="C9" s="7" t="s">
        <v>173</v>
      </c>
    </row>
    <row r="10" spans="2:3" ht="143.25" thickBot="1">
      <c r="B10" s="26"/>
      <c r="C10" s="5" t="s">
        <v>174</v>
      </c>
    </row>
    <row r="11" spans="2:3" ht="57">
      <c r="B11" s="24" t="s">
        <v>48</v>
      </c>
      <c r="C11" s="7" t="s">
        <v>175</v>
      </c>
    </row>
    <row r="12" spans="2:3" ht="57">
      <c r="B12" s="25"/>
      <c r="C12" s="7" t="s">
        <v>176</v>
      </c>
    </row>
    <row r="13" spans="2:3" ht="29.25" thickBot="1">
      <c r="B13" s="26"/>
      <c r="C13" s="5" t="s">
        <v>48</v>
      </c>
    </row>
    <row r="14" spans="2:3" ht="99.75">
      <c r="B14" s="24" t="s">
        <v>22</v>
      </c>
      <c r="C14" s="7" t="s">
        <v>177</v>
      </c>
    </row>
    <row r="15" spans="2:3" ht="100.5" thickBot="1">
      <c r="B15" s="26"/>
      <c r="C15" s="5" t="s">
        <v>178</v>
      </c>
    </row>
    <row r="16" spans="2:3" ht="29.25" thickBot="1">
      <c r="B16" s="6" t="s">
        <v>24</v>
      </c>
      <c r="C16" s="5" t="s">
        <v>19</v>
      </c>
    </row>
    <row r="17" spans="2:3" ht="57">
      <c r="B17" s="24" t="s">
        <v>26</v>
      </c>
      <c r="C17" s="7" t="s">
        <v>179</v>
      </c>
    </row>
    <row r="18" spans="2:3" ht="57">
      <c r="B18" s="25"/>
      <c r="C18" s="7" t="s">
        <v>180</v>
      </c>
    </row>
    <row r="19" spans="2:3" ht="15.75" thickBot="1">
      <c r="B19" s="26"/>
      <c r="C19" s="5" t="s">
        <v>26</v>
      </c>
    </row>
    <row r="20" spans="2:3" ht="43.5" thickBot="1">
      <c r="B20" s="6" t="s">
        <v>49</v>
      </c>
      <c r="C20" s="5" t="s">
        <v>106</v>
      </c>
    </row>
    <row r="21" spans="2:3" ht="43.5" thickBot="1">
      <c r="B21" s="6" t="s">
        <v>50</v>
      </c>
      <c r="C21" s="5" t="s">
        <v>49</v>
      </c>
    </row>
    <row r="22" spans="2:3" ht="29.25" thickBot="1">
      <c r="B22" s="6" t="s">
        <v>29</v>
      </c>
      <c r="C22" s="5" t="s">
        <v>19</v>
      </c>
    </row>
    <row r="23" spans="2:3" ht="28.5">
      <c r="B23" s="24" t="s">
        <v>31</v>
      </c>
      <c r="C23" s="7" t="s">
        <v>181</v>
      </c>
    </row>
    <row r="24" spans="2:3" ht="143.25" thickBot="1">
      <c r="B24" s="26"/>
      <c r="C24" s="5" t="s">
        <v>182</v>
      </c>
    </row>
    <row r="25" spans="2:3" ht="57">
      <c r="B25" s="24" t="s">
        <v>33</v>
      </c>
      <c r="C25" s="7" t="s">
        <v>183</v>
      </c>
    </row>
    <row r="26" spans="2:3" ht="57">
      <c r="B26" s="25"/>
      <c r="C26" s="7" t="s">
        <v>184</v>
      </c>
    </row>
    <row r="27" spans="2:3" ht="15.75" thickBot="1">
      <c r="B27" s="26"/>
      <c r="C27" s="5" t="s">
        <v>33</v>
      </c>
    </row>
    <row r="28" spans="2:3" ht="57">
      <c r="B28" s="24" t="s">
        <v>51</v>
      </c>
      <c r="C28" s="7" t="s">
        <v>185</v>
      </c>
    </row>
    <row r="29" spans="2:3" ht="156.75">
      <c r="B29" s="25"/>
      <c r="C29" s="7" t="s">
        <v>186</v>
      </c>
    </row>
    <row r="30" spans="2:3" ht="57.75" thickBot="1">
      <c r="B30" s="26"/>
      <c r="C30" s="5" t="s">
        <v>187</v>
      </c>
    </row>
    <row r="31" spans="2:3" ht="29.25" thickBot="1">
      <c r="B31" s="6" t="s">
        <v>37</v>
      </c>
      <c r="C31" s="5" t="s">
        <v>31</v>
      </c>
    </row>
    <row r="32" spans="2:3" ht="72" thickBot="1">
      <c r="B32" s="6" t="s">
        <v>39</v>
      </c>
      <c r="C32" s="5" t="s">
        <v>188</v>
      </c>
    </row>
    <row r="33" spans="2:3" ht="57">
      <c r="B33" s="24" t="s">
        <v>52</v>
      </c>
      <c r="C33" s="7" t="s">
        <v>189</v>
      </c>
    </row>
    <row r="34" spans="2:3" ht="57">
      <c r="B34" s="25"/>
      <c r="C34" s="7" t="s">
        <v>190</v>
      </c>
    </row>
    <row r="35" spans="2:3" ht="15.75" thickBot="1">
      <c r="B35" s="26"/>
      <c r="C35" s="5" t="s">
        <v>52</v>
      </c>
    </row>
    <row r="36" spans="2:3" ht="43.5" thickBot="1">
      <c r="B36" s="6" t="s">
        <v>54</v>
      </c>
      <c r="C36" s="5" t="s">
        <v>105</v>
      </c>
    </row>
    <row r="37" spans="2:3" ht="43.5" thickBot="1">
      <c r="B37" s="6" t="s">
        <v>57</v>
      </c>
      <c r="C37" s="5" t="s">
        <v>54</v>
      </c>
    </row>
    <row r="38" spans="2:3" ht="57">
      <c r="B38" s="24" t="s">
        <v>58</v>
      </c>
      <c r="C38" s="7" t="s">
        <v>191</v>
      </c>
    </row>
    <row r="39" spans="2:3" ht="99.75">
      <c r="B39" s="25"/>
      <c r="C39" s="7" t="s">
        <v>192</v>
      </c>
    </row>
    <row r="40" spans="2:3" ht="57.75" thickBot="1">
      <c r="B40" s="26"/>
      <c r="C40" s="5" t="s">
        <v>193</v>
      </c>
    </row>
    <row r="41" spans="2:3" ht="114.75" thickBot="1">
      <c r="B41" s="6" t="s">
        <v>61</v>
      </c>
      <c r="C41" s="5" t="s">
        <v>194</v>
      </c>
    </row>
    <row r="42" spans="2:3" ht="29.25" thickBot="1">
      <c r="B42" s="6" t="s">
        <v>63</v>
      </c>
      <c r="C42" s="5" t="s">
        <v>96</v>
      </c>
    </row>
  </sheetData>
  <mergeCells count="11">
    <mergeCell ref="B23:B24"/>
    <mergeCell ref="B25:B27"/>
    <mergeCell ref="B28:B30"/>
    <mergeCell ref="B33:B35"/>
    <mergeCell ref="B38:B40"/>
    <mergeCell ref="B17:B19"/>
    <mergeCell ref="B3:B5"/>
    <mergeCell ref="B6:B8"/>
    <mergeCell ref="B9:B10"/>
    <mergeCell ref="B11:B13"/>
    <mergeCell ref="B14:B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t_nguyen</cp:lastModifiedBy>
  <dcterms:created xsi:type="dcterms:W3CDTF">2015-06-05T18:19:34Z</dcterms:created>
  <dcterms:modified xsi:type="dcterms:W3CDTF">2019-06-21T08:13:13Z</dcterms:modified>
</cp:coreProperties>
</file>